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Alunos\Abe\bosch-smart-auto\fundamentos-informática\Excel\aula07-vba\"/>
    </mc:Choice>
  </mc:AlternateContent>
  <xr:revisionPtr revIDLastSave="0" documentId="13_ncr:1_{150B0AB2-E11B-48C3-87C8-F21345DDFF27}" xr6:coauthVersionLast="47" xr6:coauthVersionMax="47" xr10:uidLastSave="{00000000-0000-0000-0000-000000000000}"/>
  <workbookProtection workbookAlgorithmName="SHA-512" workbookHashValue="b8OAQMptWOyMSOqYu+iIKoyPm5URjlp6TbdRMw92BG9ToAtrMjO1oP+l0JgsDKGOFB7tAXRHtsiClWC9YntjRQ==" workbookSaltValue="2ouFBQQ8RqTRJf5mE5nWXQ==" workbookSpinCount="100000" lockStructure="1"/>
  <bookViews>
    <workbookView xWindow="-120" yWindow="-120" windowWidth="20730" windowHeight="11160" activeTab="5" xr2:uid="{00000000-000D-0000-FFFF-FFFF00000000}"/>
  </bookViews>
  <sheets>
    <sheet name="Home" sheetId="6" r:id="rId1"/>
    <sheet name="Cadastros" sheetId="7" r:id="rId2"/>
    <sheet name="Produtos" sheetId="1" r:id="rId3"/>
    <sheet name="Orçamento Matriz" sheetId="3" r:id="rId4"/>
    <sheet name="Fornecedor" sheetId="2" r:id="rId5"/>
    <sheet name="Orçamentos Salvos" sheetId="4" r:id="rId6"/>
    <sheet name="LISTAS" sheetId="5" r:id="rId7"/>
  </sheets>
  <definedNames>
    <definedName name="_xlnm._FilterDatabase" localSheetId="1" hidden="1">Cadastros!$A$1:$C$12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3" l="1"/>
  <c r="H20" i="3"/>
  <c r="I20" i="3" s="1"/>
  <c r="H21" i="3"/>
  <c r="I21" i="3" s="1"/>
  <c r="H22" i="3"/>
  <c r="I22" i="3" s="1"/>
  <c r="H23" i="3"/>
  <c r="I23" i="3" s="1"/>
  <c r="H24" i="3"/>
  <c r="I24" i="3" s="1"/>
  <c r="H25" i="3"/>
  <c r="I25" i="3" s="1"/>
  <c r="H26" i="3"/>
  <c r="I26" i="3" s="1"/>
  <c r="H27" i="3"/>
  <c r="I27" i="3" s="1"/>
  <c r="H28" i="3"/>
  <c r="I28" i="3" s="1"/>
  <c r="H29" i="3"/>
  <c r="I29" i="3" s="1"/>
  <c r="H30" i="3"/>
  <c r="I30" i="3" s="1"/>
  <c r="H31" i="3"/>
  <c r="I31" i="3" s="1"/>
  <c r="H32" i="3"/>
  <c r="I32" i="3" s="1"/>
  <c r="H33" i="3"/>
  <c r="I33" i="3" s="1"/>
  <c r="H34" i="3"/>
  <c r="I34" i="3" s="1"/>
  <c r="H35" i="3"/>
  <c r="I35" i="3" s="1"/>
  <c r="H36" i="3"/>
  <c r="I36" i="3" s="1"/>
  <c r="H37" i="3"/>
  <c r="I37" i="3" s="1"/>
  <c r="H38" i="3"/>
  <c r="I38" i="3" s="1"/>
  <c r="H39" i="3"/>
  <c r="I39" i="3" s="1"/>
  <c r="H40" i="3"/>
  <c r="I40" i="3" s="1"/>
  <c r="H41" i="3"/>
  <c r="I41" i="3" s="1"/>
  <c r="H42" i="3"/>
  <c r="I42" i="3" s="1"/>
  <c r="H43" i="3"/>
  <c r="I43" i="3" s="1"/>
  <c r="H44" i="3"/>
  <c r="I44" i="3" s="1"/>
  <c r="H19" i="3"/>
  <c r="I19" i="3" s="1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9" i="3"/>
  <c r="F20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19" i="3"/>
  <c r="E20" i="3"/>
  <c r="E21" i="3"/>
</calcChain>
</file>

<file path=xl/sharedStrings.xml><?xml version="1.0" encoding="utf-8"?>
<sst xmlns="http://schemas.openxmlformats.org/spreadsheetml/2006/main" count="101" uniqueCount="67">
  <si>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</si>
  <si>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</si>
  <si>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</si>
  <si>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</si>
  <si>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</si>
  <si>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</si>
  <si>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</si>
  <si>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</si>
  <si>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</si>
  <si>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</si>
  <si>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</si>
  <si>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</si>
  <si>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</si>
  <si>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</si>
  <si>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</si>
  <si>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</si>
  <si>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</si>
  <si>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</si>
  <si>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</si>
  <si>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</si>
  <si>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</si>
  <si>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</si>
  <si>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</si>
  <si>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</si>
  <si>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</si>
  <si>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</si>
  <si>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</si>
  <si>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</si>
  <si>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</si>
  <si>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</si>
  <si>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</si>
  <si>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</si>
  <si>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</si>
  <si>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</si>
  <si>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</si>
  <si>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</si>
  <si>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</si>
  <si>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</si>
  <si>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</si>
  <si>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</si>
  <si>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</si>
  <si>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</si>
  <si>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</si>
  <si>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</si>
  <si>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</si>
  <si>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</si>
  <si>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</si>
  <si>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ADM</t>
  </si>
  <si>
    <t>Produtos</t>
  </si>
  <si>
    <t>Fornecedor</t>
  </si>
  <si>
    <t>Orçamento Matriz</t>
  </si>
  <si>
    <t>Orçamentos Salvos</t>
  </si>
  <si>
    <t>Listas</t>
  </si>
  <si>
    <t>Cadastros</t>
  </si>
  <si>
    <t>ABE</t>
  </si>
  <si>
    <t>MIURA</t>
  </si>
  <si>
    <t>NAYNAY</t>
  </si>
  <si>
    <t>fdasfds</t>
  </si>
  <si>
    <t>fadfdasfdas</t>
  </si>
  <si>
    <t>fdasfdasfdas</t>
  </si>
  <si>
    <t>fdasfdadfas</t>
  </si>
  <si>
    <t>fdsafdas</t>
  </si>
  <si>
    <t>fdafdfdafdas</t>
  </si>
  <si>
    <t>Bosch Brasil</t>
  </si>
  <si>
    <t>Campinas</t>
  </si>
  <si>
    <t>dfasfdadfs</t>
  </si>
  <si>
    <t>dfafdafdas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</si>
</sst>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9" borderId="0" xfId="0" applyFill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6" fillId="7" borderId="5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atentlitigation.ch/tag/starlock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352424</xdr:colOff>
      <xdr:row>3</xdr:row>
      <xdr:rowOff>47626</xdr:rowOff>
    </xdr:from>
    <xdr:to>
      <xdr:col>3</xdr:col>
      <xdr:colOff>847725</xdr:colOff>
      <xdr:row>5</xdr:row>
      <xdr:rowOff>120545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DED2BB-4870-45A9-9277-9B5A9BF56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19124" y="619126"/>
          <a:ext cx="1466851" cy="4539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K5" sqref="K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C15"/>
  <sheetViews>
    <sheetView zoomScale="130" zoomScaleNormal="130" workbookViewId="0">
      <selection activeCell="B18" sqref="B18"/>
    </sheetView>
  </sheetViews>
  <sheetFormatPr defaultColWidth="10.7109375" defaultRowHeight="14.25" customHeight="1" x14ac:dyDescent="0.25"/>
  <cols>
    <col min="3" max="3" width="39.28515625" customWidth="1"/>
  </cols>
  <sheetData>
    <row r="1" spans="1:3" ht="15" x14ac:dyDescent="0.25">
      <c r="A1" t="s">
        <v>44</v>
      </c>
      <c r="B1" t="s">
        <v>45</v>
      </c>
      <c r="C1" t="s">
        <v>46</v>
      </c>
    </row>
    <row r="2" spans="1:3" ht="15" x14ac:dyDescent="0.25">
      <c r="A2" s="30" t="s">
        <v>47</v>
      </c>
      <c r="B2" s="30">
        <v>1234</v>
      </c>
      <c r="C2" s="30" t="s">
        <v>48</v>
      </c>
    </row>
    <row r="3" spans="1:3" ht="15" x14ac:dyDescent="0.25">
      <c r="A3" s="30" t="s">
        <v>47</v>
      </c>
      <c r="B3" s="30">
        <v>1234</v>
      </c>
      <c r="C3" s="30" t="s">
        <v>49</v>
      </c>
    </row>
    <row r="4" spans="1:3" ht="15" x14ac:dyDescent="0.25">
      <c r="A4" s="30" t="s">
        <v>47</v>
      </c>
      <c r="B4" s="30">
        <v>1234</v>
      </c>
      <c r="C4" s="30" t="s">
        <v>50</v>
      </c>
    </row>
    <row r="5" spans="1:3" ht="15" x14ac:dyDescent="0.25">
      <c r="A5" s="30" t="s">
        <v>47</v>
      </c>
      <c r="B5" s="30">
        <v>1234</v>
      </c>
      <c r="C5" s="30" t="s">
        <v>51</v>
      </c>
    </row>
    <row r="6" spans="1:3" ht="15" x14ac:dyDescent="0.25">
      <c r="A6" s="30" t="s">
        <v>47</v>
      </c>
      <c r="B6" s="30">
        <v>1234</v>
      </c>
      <c r="C6" s="30" t="s">
        <v>52</v>
      </c>
    </row>
    <row r="7" spans="1:3" ht="15" x14ac:dyDescent="0.25">
      <c r="A7" s="30" t="s">
        <v>47</v>
      </c>
      <c r="B7" s="30">
        <v>1234</v>
      </c>
      <c r="C7" s="30" t="s">
        <v>53</v>
      </c>
    </row>
    <row r="8" spans="1:3" ht="15" x14ac:dyDescent="0.25">
      <c r="A8" t="s">
        <v>54</v>
      </c>
      <c r="B8">
        <v>1234</v>
      </c>
      <c r="C8" t="s">
        <v>51</v>
      </c>
    </row>
    <row r="9" spans="1:3" ht="15" x14ac:dyDescent="0.25">
      <c r="A9" t="s">
        <v>54</v>
      </c>
      <c r="B9">
        <v>1234</v>
      </c>
      <c r="C9" t="s">
        <v>52</v>
      </c>
    </row>
    <row r="10" spans="1:3" ht="15" x14ac:dyDescent="0.25">
      <c r="A10" t="s">
        <v>54</v>
      </c>
      <c r="B10">
        <v>1234</v>
      </c>
      <c r="C10" t="s">
        <v>53</v>
      </c>
    </row>
    <row r="11" spans="1:3" ht="15" x14ac:dyDescent="0.25">
      <c r="A11" t="s">
        <v>55</v>
      </c>
      <c r="B11">
        <v>123</v>
      </c>
      <c r="C11" t="s">
        <v>53</v>
      </c>
    </row>
    <row r="12" spans="1:3" ht="15" x14ac:dyDescent="0.25">
      <c r="A12" t="s">
        <v>55</v>
      </c>
      <c r="B12">
        <v>123</v>
      </c>
      <c r="C12" t="s">
        <v>52</v>
      </c>
    </row>
    <row r="13" spans="1:3" ht="15" x14ac:dyDescent="0.25">
      <c r="A13" t="s">
        <v>55</v>
      </c>
      <c r="B13">
        <v>123</v>
      </c>
      <c r="C13" t="s">
        <v>48</v>
      </c>
    </row>
    <row r="14" spans="1:3" ht="15" x14ac:dyDescent="0.25">
      <c r="A14" t="s">
        <v>56</v>
      </c>
      <c r="B14">
        <v>123</v>
      </c>
      <c r="C14" t="s">
        <v>48</v>
      </c>
    </row>
    <row r="15" spans="1:3" ht="15" x14ac:dyDescent="0.25">
      <c r="A15" t="s">
        <v>56</v>
      </c>
      <c r="B15">
        <v>123</v>
      </c>
      <c r="C15" t="s">
        <v>52</v>
      </c>
    </row>
  </sheetData>
  <autoFilter ref="A1:C15" xr:uid="{0223D1EB-A7D1-456E-9C44-55F5976326D7}">
    <filterColumn colId="0">
      <filters>
        <filter val="ABE"/>
      </filters>
    </filterColumn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37"/>
  <sheetViews>
    <sheetView workbookViewId="0">
      <selection activeCell="D8" sqref="D8"/>
    </sheetView>
  </sheetViews>
  <sheetFormatPr defaultRowHeight="15" x14ac:dyDescent="0.25"/>
  <cols>
    <col min="1" max="1" width="14.28515625" bestFit="1" customWidth="1"/>
    <col min="2" max="2" width="13.5703125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 s="38">
        <v>999999</v>
      </c>
      <c r="D2" t="s">
        <v>12</v>
      </c>
      <c r="E2" t="s">
        <v>8</v>
      </c>
      <c r="F2" s="5">
        <v>5</v>
      </c>
    </row>
    <row r="3" spans="1:6" x14ac:dyDescent="0.25">
      <c r="A3">
        <v>2</v>
      </c>
      <c r="B3" t="s">
        <v>57</v>
      </c>
      <c r="C3" s="38" t="s">
        <v>58</v>
      </c>
      <c r="D3" t="s">
        <v>13</v>
      </c>
      <c r="E3" t="s">
        <v>7</v>
      </c>
      <c r="F3" s="5">
        <v>40</v>
      </c>
    </row>
    <row r="4" spans="1:6" x14ac:dyDescent="0.25">
      <c r="A4">
        <v>3</v>
      </c>
      <c r="B4" t="s">
        <v>59</v>
      </c>
      <c r="C4" s="38" t="s">
        <v>60</v>
      </c>
      <c r="D4" t="s">
        <v>15</v>
      </c>
      <c r="E4" t="s">
        <v>6</v>
      </c>
      <c r="F4" s="5">
        <v>456</v>
      </c>
    </row>
    <row r="5" spans="1:6" x14ac:dyDescent="0.25">
      <c r="A5">
        <v>4</v>
      </c>
      <c r="B5" t="s">
        <v>59</v>
      </c>
      <c r="C5" s="38" t="s">
        <v>61</v>
      </c>
      <c r="D5" t="s">
        <v>13</v>
      </c>
      <c r="E5" t="s">
        <v>9</v>
      </c>
      <c r="F5" s="5">
        <v>321321</v>
      </c>
    </row>
    <row r="6" spans="1:6" x14ac:dyDescent="0.25">
      <c r="A6">
        <v>5</v>
      </c>
      <c r="B6" t="s">
        <v>65</v>
      </c>
      <c r="C6" s="38" t="s">
        <v>66</v>
      </c>
      <c r="D6" t="s">
        <v>15</v>
      </c>
      <c r="E6" t="s">
        <v>6</v>
      </c>
      <c r="F6" s="5">
        <v>3</v>
      </c>
    </row>
    <row r="7" spans="1:6" x14ac:dyDescent="0.25">
      <c r="C7" s="38"/>
    </row>
    <row r="8" spans="1:6" x14ac:dyDescent="0.25">
      <c r="C8" s="38"/>
    </row>
    <row r="9" spans="1:6" x14ac:dyDescent="0.25">
      <c r="C9" s="38"/>
    </row>
    <row r="10" spans="1:6" x14ac:dyDescent="0.25">
      <c r="C10" s="38"/>
    </row>
    <row r="11" spans="1:6" x14ac:dyDescent="0.25">
      <c r="C11" s="38"/>
    </row>
    <row r="12" spans="1:6" x14ac:dyDescent="0.25">
      <c r="C12" s="38"/>
    </row>
    <row r="13" spans="1:6" x14ac:dyDescent="0.25">
      <c r="C13" s="38"/>
    </row>
    <row r="14" spans="1:6" x14ac:dyDescent="0.25">
      <c r="C14" s="38"/>
    </row>
    <row r="15" spans="1:6" x14ac:dyDescent="0.25">
      <c r="C15" s="38"/>
    </row>
    <row r="16" spans="1:6" x14ac:dyDescent="0.25">
      <c r="C16" s="38"/>
    </row>
    <row r="17" spans="3:3" x14ac:dyDescent="0.25">
      <c r="C17" s="38"/>
    </row>
    <row r="18" spans="3:3" x14ac:dyDescent="0.25">
      <c r="C18" s="38"/>
    </row>
    <row r="19" spans="3:3" x14ac:dyDescent="0.25">
      <c r="C19" s="38"/>
    </row>
    <row r="20" spans="3:3" x14ac:dyDescent="0.25">
      <c r="C20" s="38"/>
    </row>
    <row r="21" spans="3:3" x14ac:dyDescent="0.25">
      <c r="C21" s="38"/>
    </row>
    <row r="22" spans="3:3" x14ac:dyDescent="0.25">
      <c r="C22" s="38"/>
    </row>
    <row r="23" spans="3:3" x14ac:dyDescent="0.25">
      <c r="C23" s="38"/>
    </row>
    <row r="24" spans="3:3" x14ac:dyDescent="0.25">
      <c r="C24" s="38"/>
    </row>
    <row r="25" spans="3:3" x14ac:dyDescent="0.25">
      <c r="C25" s="38"/>
    </row>
    <row r="26" spans="3:3" x14ac:dyDescent="0.25">
      <c r="C26" s="38"/>
    </row>
    <row r="27" spans="3:3" x14ac:dyDescent="0.25">
      <c r="C27" s="38"/>
    </row>
    <row r="28" spans="3:3" x14ac:dyDescent="0.25">
      <c r="C28" s="38"/>
    </row>
    <row r="29" spans="3:3" x14ac:dyDescent="0.25">
      <c r="C29" s="38"/>
    </row>
    <row r="30" spans="3:3" x14ac:dyDescent="0.25">
      <c r="C30" s="38"/>
    </row>
    <row r="31" spans="3:3" x14ac:dyDescent="0.25">
      <c r="C31" s="38"/>
    </row>
    <row r="32" spans="3:3" x14ac:dyDescent="0.25">
      <c r="C32" s="38"/>
    </row>
    <row r="33" spans="3:3" x14ac:dyDescent="0.25">
      <c r="C33" s="38"/>
    </row>
    <row r="34" spans="3:3" x14ac:dyDescent="0.25">
      <c r="C34" s="38"/>
    </row>
    <row r="35" spans="3:3" x14ac:dyDescent="0.25">
      <c r="C35" s="38"/>
    </row>
    <row r="36" spans="3:3" x14ac:dyDescent="0.25">
      <c r="C36" s="38"/>
    </row>
    <row r="37" spans="3:3" x14ac:dyDescent="0.25">
      <c r="C37" s="38"/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1048576"/>
  <sheetViews>
    <sheetView workbookViewId="0">
      <selection activeCell="G5" sqref="G5"/>
    </sheetView>
  </sheetViews>
  <sheetFormatPr defaultColWidth="0" defaultRowHeight="15" zeroHeight="1" x14ac:dyDescent="0.25"/>
  <cols>
    <col min="1" max="1" width="4" style="7" bestFit="1" customWidth="1"/>
    <col min="2" max="2" width="5.42578125" style="13" customWidth="1"/>
    <col min="3" max="3" width="9.140625" customWidth="1"/>
    <col min="4" max="4" width="14.140625" bestFit="1" customWidth="1"/>
    <col min="5" max="5" width="18.7109375" customWidth="1"/>
    <col min="6" max="6" width="11.85546875" customWidth="1"/>
    <col min="7" max="7" width="8.7109375" customWidth="1"/>
    <col min="8" max="8" width="8.42578125" customWidth="1"/>
    <col min="9" max="9" width="12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x14ac:dyDescent="0.25">
      <c r="B1" s="8"/>
      <c r="K1" s="8"/>
    </row>
    <row r="2" spans="1:11" s="11" customFormat="1" x14ac:dyDescent="0.25">
      <c r="A2" s="9"/>
      <c r="B2" s="10"/>
      <c r="K2" s="12"/>
    </row>
    <row r="3" spans="1:11" x14ac:dyDescent="0.25">
      <c r="C3" s="32"/>
      <c r="D3" s="32"/>
      <c r="E3" s="33" t="s">
        <v>63</v>
      </c>
      <c r="F3" s="33"/>
      <c r="G3" s="33"/>
      <c r="H3" s="33"/>
      <c r="I3" s="33"/>
    </row>
    <row r="4" spans="1:11" x14ac:dyDescent="0.25">
      <c r="C4" s="32"/>
      <c r="D4" s="32"/>
      <c r="E4" s="34" t="s">
        <v>64</v>
      </c>
      <c r="F4" s="34"/>
      <c r="G4" s="34"/>
      <c r="H4" s="34"/>
      <c r="I4" s="34"/>
    </row>
    <row r="5" spans="1:11" x14ac:dyDescent="0.25">
      <c r="C5" s="32"/>
      <c r="D5" s="32"/>
    </row>
    <row r="6" spans="1:11" x14ac:dyDescent="0.25">
      <c r="C6" s="32"/>
      <c r="D6" s="32"/>
      <c r="F6" s="34"/>
      <c r="G6" s="34"/>
      <c r="H6" s="34"/>
      <c r="I6">
        <f>MAX('Orçamentos Salvos'!A2:A1048576) + 1</f>
        <v>3</v>
      </c>
    </row>
    <row r="7" spans="1:11" x14ac:dyDescent="0.25">
      <c r="C7" s="32"/>
      <c r="D7" s="32"/>
      <c r="H7" s="14" t="s">
        <v>30</v>
      </c>
      <c r="I7" s="15">
        <v>2</v>
      </c>
    </row>
    <row r="8" spans="1:11" x14ac:dyDescent="0.25"/>
    <row r="9" spans="1:11" x14ac:dyDescent="0.25">
      <c r="C9" s="39"/>
      <c r="D9" s="40"/>
      <c r="E9" s="40"/>
      <c r="F9" s="40"/>
      <c r="G9" s="40"/>
      <c r="H9" s="40"/>
      <c r="I9" s="41"/>
    </row>
    <row r="10" spans="1:11" x14ac:dyDescent="0.25">
      <c r="C10" s="42"/>
      <c r="D10" s="43"/>
      <c r="E10" s="43"/>
      <c r="F10" s="43"/>
      <c r="G10" s="43"/>
      <c r="H10" s="43"/>
      <c r="I10" s="44"/>
    </row>
    <row r="11" spans="1:11" x14ac:dyDescent="0.25">
      <c r="C11" s="42"/>
      <c r="D11" s="43"/>
      <c r="E11" s="43"/>
      <c r="F11" s="43"/>
      <c r="G11" s="43"/>
      <c r="H11" s="43"/>
      <c r="I11" s="44"/>
    </row>
    <row r="12" spans="1:11" x14ac:dyDescent="0.25">
      <c r="C12" s="42"/>
      <c r="D12" s="43"/>
      <c r="E12" s="43"/>
      <c r="F12" s="43"/>
      <c r="G12" s="43"/>
      <c r="H12" s="43"/>
      <c r="I12" s="44"/>
    </row>
    <row r="13" spans="1:11" x14ac:dyDescent="0.25">
      <c r="C13" s="42"/>
      <c r="D13" s="43"/>
      <c r="E13" s="43"/>
      <c r="F13" s="43"/>
      <c r="G13" s="43"/>
      <c r="H13" s="43"/>
      <c r="I13" s="44"/>
    </row>
    <row r="14" spans="1:11" x14ac:dyDescent="0.25">
      <c r="C14" s="45"/>
      <c r="D14" s="46"/>
      <c r="E14" s="46"/>
      <c r="F14" s="46"/>
      <c r="G14" s="46"/>
      <c r="H14" s="46"/>
      <c r="I14" s="47"/>
    </row>
    <row r="15" spans="1:11" x14ac:dyDescent="0.25"/>
    <row r="16" spans="1:11" ht="15.75" x14ac:dyDescent="0.25">
      <c r="C16" s="36" t="s">
        <v>31</v>
      </c>
      <c r="D16" s="36"/>
      <c r="E16" s="16">
        <v>42357</v>
      </c>
      <c r="F16" s="36" t="s">
        <v>32</v>
      </c>
      <c r="G16" s="36"/>
      <c r="H16" s="37">
        <v>42329</v>
      </c>
      <c r="I16" s="35"/>
    </row>
    <row r="17" spans="3:11" x14ac:dyDescent="0.25"/>
    <row r="18" spans="3:11" ht="15.75" thickBot="1" x14ac:dyDescent="0.3">
      <c r="C18" s="17" t="s">
        <v>16</v>
      </c>
      <c r="D18" s="18" t="s">
        <v>33</v>
      </c>
      <c r="E18" s="18" t="s">
        <v>18</v>
      </c>
      <c r="F18" s="19" t="s">
        <v>8</v>
      </c>
      <c r="G18" s="19" t="s">
        <v>34</v>
      </c>
      <c r="H18" s="19" t="s">
        <v>35</v>
      </c>
      <c r="I18" s="19" t="s">
        <v>36</v>
      </c>
    </row>
    <row r="19" spans="3:11" x14ac:dyDescent="0.25">
      <c r="C19">
        <v>123</v>
      </c>
      <c r="D19" s="20">
        <v>1</v>
      </c>
      <c r="E19" t="str">
        <f>IFERROR(VLOOKUP(D19,Produtos!$A:$F,2,FALSE),"")</f>
        <v>Produto 1</v>
      </c>
      <c r="F19" t="str">
        <f>IFERROR(VLOOKUP(D19,Produtos!$A:$F,5,FALSE),"")</f>
        <v>Unidade</v>
      </c>
      <c r="G19" s="1">
        <v>123</v>
      </c>
      <c r="H19" s="21">
        <f>IFERROR(VLOOKUP(D19,Produtos!$A:$F,6,FALSE),"")</f>
        <v>5</v>
      </c>
      <c r="I19" s="22">
        <f>IFERROR(G19*H19,"")</f>
        <v>615</v>
      </c>
    </row>
    <row r="20" spans="3:11" x14ac:dyDescent="0.25">
      <c r="C20">
        <v>124</v>
      </c>
      <c r="D20" s="20">
        <v>2</v>
      </c>
      <c r="E20" t="str">
        <f>IFERROR(VLOOKUP(D20,Produtos!$A:$F,2,FALSE),"")</f>
        <v>fdasfds</v>
      </c>
      <c r="F20" t="str">
        <f>IFERROR(VLOOKUP(D20,Produtos!$A:$F,5,FALSE),"")</f>
        <v>Pacote</v>
      </c>
      <c r="G20" s="1">
        <v>3</v>
      </c>
      <c r="H20" s="21">
        <f>IFERROR(VLOOKUP(D20,Produtos!$A:$F,6,FALSE),"")</f>
        <v>40</v>
      </c>
      <c r="I20" s="22">
        <f t="shared" ref="I20:I44" si="0">IFERROR(G20*H20,"")</f>
        <v>120</v>
      </c>
    </row>
    <row r="21" spans="3:11" x14ac:dyDescent="0.25">
      <c r="D21" s="20"/>
      <c r="E21" t="str">
        <f>IFERROR(VLOOKUP(D21,Produtos!$A:$F,2,FALSE),"")</f>
        <v/>
      </c>
      <c r="F21" t="str">
        <f>IFERROR(VLOOKUP(D21,Produtos!$A:$F,5,FALSE),"")</f>
        <v/>
      </c>
      <c r="G21" s="1"/>
      <c r="H21" s="21" t="str">
        <f>IFERROR(VLOOKUP(D21,Produtos!$A:$F,6,FALSE),"")</f>
        <v/>
      </c>
      <c r="I21" s="22" t="str">
        <f t="shared" si="0"/>
        <v/>
      </c>
    </row>
    <row r="22" spans="3:11" x14ac:dyDescent="0.25">
      <c r="D22" s="20"/>
      <c r="E22" t="str">
        <f>IFERROR(VLOOKUP(D22,Produtos!$A:$F,2,FALSE),"")</f>
        <v/>
      </c>
      <c r="F22" t="str">
        <f>IFERROR(VLOOKUP(D22,Produtos!$A:$F,5,FALSE),"")</f>
        <v/>
      </c>
      <c r="G22" s="1"/>
      <c r="H22" s="21" t="str">
        <f>IFERROR(VLOOKUP(D22,Produtos!$A:$F,6,FALSE),"")</f>
        <v/>
      </c>
      <c r="I22" s="22" t="str">
        <f t="shared" si="0"/>
        <v/>
      </c>
      <c r="J22" s="23"/>
      <c r="K22" s="24"/>
    </row>
    <row r="23" spans="3:11" x14ac:dyDescent="0.25">
      <c r="D23" s="20"/>
      <c r="E23" t="str">
        <f>IFERROR(VLOOKUP(D23,Produtos!$A:$F,2,FALSE),"")</f>
        <v/>
      </c>
      <c r="F23" t="str">
        <f>IFERROR(VLOOKUP(D23,Produtos!$A:$F,5,FALSE),"")</f>
        <v/>
      </c>
      <c r="G23" s="1"/>
      <c r="H23" s="21" t="str">
        <f>IFERROR(VLOOKUP(D23,Produtos!$A:$F,6,FALSE),"")</f>
        <v/>
      </c>
      <c r="I23" s="22" t="str">
        <f t="shared" si="0"/>
        <v/>
      </c>
      <c r="J23" s="23"/>
      <c r="K23" s="24"/>
    </row>
    <row r="24" spans="3:11" x14ac:dyDescent="0.25">
      <c r="D24" s="20"/>
      <c r="E24" t="str">
        <f>IFERROR(VLOOKUP(D24,Produtos!$A:$F,2,FALSE),"")</f>
        <v/>
      </c>
      <c r="F24" t="str">
        <f>IFERROR(VLOOKUP(D24,Produtos!$A:$F,5,FALSE),"")</f>
        <v/>
      </c>
      <c r="G24" s="1"/>
      <c r="H24" s="21" t="str">
        <f>IFERROR(VLOOKUP(D24,Produtos!$A:$F,6,FALSE),"")</f>
        <v/>
      </c>
      <c r="I24" s="22" t="str">
        <f t="shared" si="0"/>
        <v/>
      </c>
    </row>
    <row r="25" spans="3:11" x14ac:dyDescent="0.25">
      <c r="D25" s="20"/>
      <c r="E25" t="str">
        <f>IFERROR(VLOOKUP(D25,Produtos!$A:$F,2,FALSE),"")</f>
        <v/>
      </c>
      <c r="F25" t="str">
        <f>IFERROR(VLOOKUP(D25,Produtos!$A:$F,5,FALSE),"")</f>
        <v/>
      </c>
      <c r="G25" s="1"/>
      <c r="H25" s="21" t="str">
        <f>IFERROR(VLOOKUP(D25,Produtos!$A:$F,6,FALSE),"")</f>
        <v/>
      </c>
      <c r="I25" s="22" t="str">
        <f t="shared" si="0"/>
        <v/>
      </c>
    </row>
    <row r="26" spans="3:11" x14ac:dyDescent="0.25">
      <c r="D26" s="20"/>
      <c r="E26" t="str">
        <f>IFERROR(VLOOKUP(D26,Produtos!$A:$F,2,FALSE),"")</f>
        <v/>
      </c>
      <c r="F26" t="str">
        <f>IFERROR(VLOOKUP(D26,Produtos!$A:$F,5,FALSE),"")</f>
        <v/>
      </c>
      <c r="G26" s="1"/>
      <c r="H26" s="21" t="str">
        <f>IFERROR(VLOOKUP(D26,Produtos!$A:$F,6,FALSE),"")</f>
        <v/>
      </c>
      <c r="I26" s="22" t="str">
        <f t="shared" si="0"/>
        <v/>
      </c>
    </row>
    <row r="27" spans="3:11" x14ac:dyDescent="0.25">
      <c r="D27" s="20"/>
      <c r="E27" t="str">
        <f>IFERROR(VLOOKUP(D27,Produtos!$A:$F,2,FALSE),"")</f>
        <v/>
      </c>
      <c r="F27" t="str">
        <f>IFERROR(VLOOKUP(D27,Produtos!$A:$F,5,FALSE),"")</f>
        <v/>
      </c>
      <c r="G27" s="1"/>
      <c r="H27" s="21" t="str">
        <f>IFERROR(VLOOKUP(D27,Produtos!$A:$F,6,FALSE),"")</f>
        <v/>
      </c>
      <c r="I27" s="22" t="str">
        <f t="shared" si="0"/>
        <v/>
      </c>
    </row>
    <row r="28" spans="3:11" x14ac:dyDescent="0.25">
      <c r="D28" s="20"/>
      <c r="E28" t="str">
        <f>IFERROR(VLOOKUP(D28,Produtos!$A:$F,2,FALSE),"")</f>
        <v/>
      </c>
      <c r="F28" t="str">
        <f>IFERROR(VLOOKUP(D28,Produtos!$A:$F,5,FALSE),"")</f>
        <v/>
      </c>
      <c r="G28" s="1"/>
      <c r="H28" s="21" t="str">
        <f>IFERROR(VLOOKUP(D28,Produtos!$A:$F,6,FALSE),"")</f>
        <v/>
      </c>
      <c r="I28" s="22" t="str">
        <f t="shared" si="0"/>
        <v/>
      </c>
    </row>
    <row r="29" spans="3:11" x14ac:dyDescent="0.25">
      <c r="D29" s="20"/>
      <c r="E29" t="str">
        <f>IFERROR(VLOOKUP(D29,Produtos!$A:$F,2,FALSE),"")</f>
        <v/>
      </c>
      <c r="F29" t="str">
        <f>IFERROR(VLOOKUP(D29,Produtos!$A:$F,5,FALSE),"")</f>
        <v/>
      </c>
      <c r="G29" s="1"/>
      <c r="H29" s="21" t="str">
        <f>IFERROR(VLOOKUP(D29,Produtos!$A:$F,6,FALSE),"")</f>
        <v/>
      </c>
      <c r="I29" s="22" t="str">
        <f t="shared" si="0"/>
        <v/>
      </c>
    </row>
    <row r="30" spans="3:11" x14ac:dyDescent="0.25">
      <c r="D30" s="20"/>
      <c r="E30" t="str">
        <f>IFERROR(VLOOKUP(D30,Produtos!$A:$F,2,FALSE),"")</f>
        <v/>
      </c>
      <c r="F30" t="str">
        <f>IFERROR(VLOOKUP(D30,Produtos!$A:$F,5,FALSE),"")</f>
        <v/>
      </c>
      <c r="G30" s="1"/>
      <c r="H30" s="21" t="str">
        <f>IFERROR(VLOOKUP(D30,Produtos!$A:$F,6,FALSE),"")</f>
        <v/>
      </c>
      <c r="I30" s="22" t="str">
        <f t="shared" si="0"/>
        <v/>
      </c>
    </row>
    <row r="31" spans="3:11" x14ac:dyDescent="0.25">
      <c r="D31" s="20"/>
      <c r="E31" t="str">
        <f>IFERROR(VLOOKUP(D31,Produtos!$A:$F,2,FALSE),"")</f>
        <v/>
      </c>
      <c r="F31" t="str">
        <f>IFERROR(VLOOKUP(D31,Produtos!$A:$F,5,FALSE),"")</f>
        <v/>
      </c>
      <c r="G31" s="1"/>
      <c r="H31" s="21" t="str">
        <f>IFERROR(VLOOKUP(D31,Produtos!$A:$F,6,FALSE),"")</f>
        <v/>
      </c>
      <c r="I31" s="22" t="str">
        <f t="shared" si="0"/>
        <v/>
      </c>
    </row>
    <row r="32" spans="3:11" x14ac:dyDescent="0.25">
      <c r="D32" s="20"/>
      <c r="E32" t="str">
        <f>IFERROR(VLOOKUP(D32,Produtos!$A:$F,2,FALSE),"")</f>
        <v/>
      </c>
      <c r="F32" t="str">
        <f>IFERROR(VLOOKUP(D32,Produtos!$A:$F,5,FALSE),"")</f>
        <v/>
      </c>
      <c r="G32" s="1"/>
      <c r="H32" s="21" t="str">
        <f>IFERROR(VLOOKUP(D32,Produtos!$A:$F,6,FALSE),"")</f>
        <v/>
      </c>
      <c r="I32" s="22" t="str">
        <f t="shared" si="0"/>
        <v/>
      </c>
      <c r="J32" s="23"/>
      <c r="K32" s="24"/>
    </row>
    <row r="33" spans="4:11" x14ac:dyDescent="0.25">
      <c r="D33" s="20"/>
      <c r="E33" t="str">
        <f>IFERROR(VLOOKUP(D33,Produtos!$A:$F,2,FALSE),"")</f>
        <v/>
      </c>
      <c r="F33" t="str">
        <f>IFERROR(VLOOKUP(D33,Produtos!$A:$F,5,FALSE),"")</f>
        <v/>
      </c>
      <c r="G33" s="1"/>
      <c r="H33" s="21" t="str">
        <f>IFERROR(VLOOKUP(D33,Produtos!$A:$F,6,FALSE),"")</f>
        <v/>
      </c>
      <c r="I33" s="22" t="str">
        <f t="shared" si="0"/>
        <v/>
      </c>
      <c r="J33" s="23"/>
      <c r="K33" s="24"/>
    </row>
    <row r="34" spans="4:11" x14ac:dyDescent="0.25">
      <c r="D34" s="20"/>
      <c r="E34" t="str">
        <f>IFERROR(VLOOKUP(D34,Produtos!$A:$F,2,FALSE),"")</f>
        <v/>
      </c>
      <c r="F34" t="str">
        <f>IFERROR(VLOOKUP(D34,Produtos!$A:$F,5,FALSE),"")</f>
        <v/>
      </c>
      <c r="G34" s="1"/>
      <c r="H34" s="21" t="str">
        <f>IFERROR(VLOOKUP(D34,Produtos!$A:$F,6,FALSE),"")</f>
        <v/>
      </c>
      <c r="I34" s="22" t="str">
        <f t="shared" si="0"/>
        <v/>
      </c>
    </row>
    <row r="35" spans="4:11" x14ac:dyDescent="0.25">
      <c r="E35" t="str">
        <f>IFERROR(VLOOKUP(D35,Produtos!$A:$F,2,FALSE),"")</f>
        <v/>
      </c>
      <c r="F35" t="str">
        <f>IFERROR(VLOOKUP(D35,Produtos!$A:$F,5,FALSE),"")</f>
        <v/>
      </c>
      <c r="G35" s="1"/>
      <c r="H35" s="21" t="str">
        <f>IFERROR(VLOOKUP(D35,Produtos!$A:$F,6,FALSE),"")</f>
        <v/>
      </c>
      <c r="I35" s="22" t="str">
        <f t="shared" si="0"/>
        <v/>
      </c>
    </row>
    <row r="36" spans="4:11" x14ac:dyDescent="0.25">
      <c r="E36" t="str">
        <f>IFERROR(VLOOKUP(D36,Produtos!$A:$F,2,FALSE),"")</f>
        <v/>
      </c>
      <c r="F36" t="str">
        <f>IFERROR(VLOOKUP(D36,Produtos!$A:$F,5,FALSE),"")</f>
        <v/>
      </c>
      <c r="G36" s="1"/>
      <c r="H36" s="21" t="str">
        <f>IFERROR(VLOOKUP(D36,Produtos!$A:$F,6,FALSE),"")</f>
        <v/>
      </c>
      <c r="I36" s="22" t="str">
        <f t="shared" si="0"/>
        <v/>
      </c>
    </row>
    <row r="37" spans="4:11" x14ac:dyDescent="0.25">
      <c r="E37" t="str">
        <f>IFERROR(VLOOKUP(D37,Produtos!$A:$F,2,FALSE),"")</f>
        <v/>
      </c>
      <c r="F37" t="str">
        <f>IFERROR(VLOOKUP(D37,Produtos!$A:$F,5,FALSE),"")</f>
        <v/>
      </c>
      <c r="G37" s="1"/>
      <c r="H37" s="21" t="str">
        <f>IFERROR(VLOOKUP(D37,Produtos!$A:$F,6,FALSE),"")</f>
        <v/>
      </c>
      <c r="I37" s="22" t="str">
        <f t="shared" si="0"/>
        <v/>
      </c>
    </row>
    <row r="38" spans="4:11" x14ac:dyDescent="0.25">
      <c r="E38" t="str">
        <f>IFERROR(VLOOKUP(D38,Produtos!$A:$F,2,FALSE),"")</f>
        <v/>
      </c>
      <c r="F38" t="str">
        <f>IFERROR(VLOOKUP(D38,Produtos!$A:$F,5,FALSE),"")</f>
        <v/>
      </c>
      <c r="G38" s="1"/>
      <c r="H38" s="21" t="str">
        <f>IFERROR(VLOOKUP(D38,Produtos!$A:$F,6,FALSE),"")</f>
        <v/>
      </c>
      <c r="I38" s="22" t="str">
        <f t="shared" si="0"/>
        <v/>
      </c>
    </row>
    <row r="39" spans="4:11" x14ac:dyDescent="0.25">
      <c r="E39" t="str">
        <f>IFERROR(VLOOKUP(D39,Produtos!$A:$F,2,FALSE),"")</f>
        <v/>
      </c>
      <c r="F39" t="str">
        <f>IFERROR(VLOOKUP(D39,Produtos!$A:$F,5,FALSE),"")</f>
        <v/>
      </c>
      <c r="G39" s="1"/>
      <c r="H39" s="21" t="str">
        <f>IFERROR(VLOOKUP(D39,Produtos!$A:$F,6,FALSE),"")</f>
        <v/>
      </c>
      <c r="I39" s="22" t="str">
        <f t="shared" si="0"/>
        <v/>
      </c>
    </row>
    <row r="40" spans="4:11" x14ac:dyDescent="0.25">
      <c r="E40" t="str">
        <f>IFERROR(VLOOKUP(D40,Produtos!$A:$F,2,FALSE),"")</f>
        <v/>
      </c>
      <c r="F40" t="str">
        <f>IFERROR(VLOOKUP(D40,Produtos!$A:$F,5,FALSE),"")</f>
        <v/>
      </c>
      <c r="G40" s="1"/>
      <c r="H40" s="21" t="str">
        <f>IFERROR(VLOOKUP(D40,Produtos!$A:$F,6,FALSE),"")</f>
        <v/>
      </c>
      <c r="I40" s="22" t="str">
        <f t="shared" si="0"/>
        <v/>
      </c>
    </row>
    <row r="41" spans="4:11" x14ac:dyDescent="0.25">
      <c r="E41" t="str">
        <f>IFERROR(VLOOKUP(D41,Produtos!$A:$F,2,FALSE),"")</f>
        <v/>
      </c>
      <c r="F41" t="str">
        <f>IFERROR(VLOOKUP(D41,Produtos!$A:$F,5,FALSE),"")</f>
        <v/>
      </c>
      <c r="G41" s="1"/>
      <c r="H41" s="21" t="str">
        <f>IFERROR(VLOOKUP(D41,Produtos!$A:$F,6,FALSE),"")</f>
        <v/>
      </c>
      <c r="I41" s="22" t="str">
        <f t="shared" si="0"/>
        <v/>
      </c>
    </row>
    <row r="42" spans="4:11" x14ac:dyDescent="0.25">
      <c r="E42" t="str">
        <f>IFERROR(VLOOKUP(D42,Produtos!$A:$F,2,FALSE),"")</f>
        <v/>
      </c>
      <c r="F42" t="str">
        <f>IFERROR(VLOOKUP(D42,Produtos!$A:$F,5,FALSE),"")</f>
        <v/>
      </c>
      <c r="G42" s="1"/>
      <c r="H42" s="21" t="str">
        <f>IFERROR(VLOOKUP(D42,Produtos!$A:$F,6,FALSE),"")</f>
        <v/>
      </c>
      <c r="I42" s="22" t="str">
        <f t="shared" si="0"/>
        <v/>
      </c>
    </row>
    <row r="43" spans="4:11" x14ac:dyDescent="0.25">
      <c r="E43" t="str">
        <f>IFERROR(VLOOKUP(D43,Produtos!$A:$F,2,FALSE),"")</f>
        <v/>
      </c>
      <c r="F43" t="str">
        <f>IFERROR(VLOOKUP(D43,Produtos!$A:$F,5,FALSE),"")</f>
        <v/>
      </c>
      <c r="H43" s="21" t="str">
        <f>IFERROR(VLOOKUP(D43,Produtos!$A:$F,6,FALSE),"")</f>
        <v/>
      </c>
      <c r="I43" s="22" t="str">
        <f t="shared" si="0"/>
        <v/>
      </c>
    </row>
    <row r="44" spans="4:11" x14ac:dyDescent="0.25">
      <c r="E44" t="str">
        <f>IFERROR(VLOOKUP(D44,Produtos!$A:$F,2,FALSE),"")</f>
        <v/>
      </c>
      <c r="F44" t="str">
        <f>IFERROR(VLOOKUP(D44,Produtos!$A:$F,5,FALSE),"")</f>
        <v/>
      </c>
      <c r="H44" s="21" t="str">
        <f>IFERROR(VLOOKUP(D44,Produtos!$A:$F,6,FALSE),"")</f>
        <v/>
      </c>
      <c r="I44" s="22" t="str">
        <f t="shared" si="0"/>
        <v/>
      </c>
    </row>
    <row r="45" spans="4:11" x14ac:dyDescent="0.25">
      <c r="E45" s="14" t="s">
        <v>37</v>
      </c>
      <c r="F45" s="1">
        <v>0</v>
      </c>
    </row>
    <row r="46" spans="4:11" x14ac:dyDescent="0.25">
      <c r="E46" s="14" t="s">
        <v>38</v>
      </c>
      <c r="F46" s="25">
        <v>0</v>
      </c>
    </row>
    <row r="47" spans="4:11" x14ac:dyDescent="0.25"/>
    <row r="48" spans="4:11" x14ac:dyDescent="0.25"/>
    <row r="49" spans="2:10" x14ac:dyDescent="0.25"/>
    <row r="50" spans="2:10" x14ac:dyDescent="0.25">
      <c r="F50" s="31"/>
      <c r="G50" s="31"/>
      <c r="H50" s="31"/>
      <c r="I50" s="31"/>
    </row>
    <row r="51" spans="2:10" x14ac:dyDescent="0.25"/>
    <row r="52" spans="2:10" x14ac:dyDescent="0.25"/>
    <row r="53" spans="2:10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0" x14ac:dyDescent="0.25">
      <c r="B54" s="7"/>
      <c r="C54" s="7"/>
      <c r="D54" s="7"/>
      <c r="E54" s="7"/>
      <c r="F54" s="7"/>
      <c r="G54" s="7"/>
      <c r="H54" s="7"/>
      <c r="I54" s="7"/>
      <c r="J54" s="7"/>
    </row>
    <row r="55" spans="2:10" x14ac:dyDescent="0.25"/>
    <row r="56" spans="2:10" x14ac:dyDescent="0.25"/>
    <row r="57" spans="2:10" x14ac:dyDescent="0.25"/>
    <row r="58" spans="2:10" x14ac:dyDescent="0.25"/>
    <row r="59" spans="2:10" x14ac:dyDescent="0.25"/>
    <row r="60" spans="2:10" x14ac:dyDescent="0.25"/>
    <row r="61" spans="2:10" x14ac:dyDescent="0.25"/>
    <row r="62" spans="2:10" x14ac:dyDescent="0.25"/>
    <row r="63" spans="2:10" x14ac:dyDescent="0.25"/>
    <row r="64" spans="2:10" x14ac:dyDescent="0.25"/>
    <row r="1048573" spans="1:7" x14ac:dyDescent="0.25"/>
    <row r="1048574" spans="1:7" x14ac:dyDescent="0.25"/>
    <row r="1048575" spans="1:7" ht="21.75" customHeight="1" x14ac:dyDescent="0.25"/>
    <row r="1048576" spans="1:7" hidden="1" x14ac:dyDescent="0.25">
      <c r="A1048576" s="7">
        <v>321</v>
      </c>
      <c r="B1048576" s="13">
        <v>321</v>
      </c>
      <c r="C1048576">
        <v>321</v>
      </c>
      <c r="D1048576">
        <v>321</v>
      </c>
      <c r="E1048576">
        <v>321</v>
      </c>
      <c r="G1048576">
        <v>321</v>
      </c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2"/>
  <sheetViews>
    <sheetView workbookViewId="0">
      <selection activeCell="E23" sqref="E23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  <row r="2" spans="1:6" x14ac:dyDescent="0.25">
      <c r="A2">
        <v>3213</v>
      </c>
      <c r="B2" t="s">
        <v>62</v>
      </c>
      <c r="C2">
        <v>321321</v>
      </c>
      <c r="D2">
        <v>321321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5"/>
  <sheetViews>
    <sheetView tabSelected="1" workbookViewId="0">
      <selection activeCell="F10" sqref="F10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3.7109375" customWidth="1"/>
    <col min="7" max="7" width="11" bestFit="1" customWidth="1"/>
    <col min="8" max="8" width="8.28515625" bestFit="1" customWidth="1"/>
  </cols>
  <sheetData>
    <row r="1" spans="1:8" x14ac:dyDescent="0.25">
      <c r="A1" s="29" t="s">
        <v>39</v>
      </c>
      <c r="B1" s="29" t="s">
        <v>17</v>
      </c>
      <c r="C1" s="29" t="s">
        <v>40</v>
      </c>
      <c r="D1" s="29" t="s">
        <v>18</v>
      </c>
      <c r="E1" s="29" t="s">
        <v>8</v>
      </c>
      <c r="F1" s="29" t="s">
        <v>41</v>
      </c>
      <c r="G1" s="29" t="s">
        <v>42</v>
      </c>
      <c r="H1" s="29" t="s">
        <v>43</v>
      </c>
    </row>
    <row r="2" spans="1:8" x14ac:dyDescent="0.25">
      <c r="A2" s="48">
        <v>2</v>
      </c>
      <c r="B2">
        <v>123</v>
      </c>
    </row>
    <row r="3" spans="1:8" x14ac:dyDescent="0.25">
      <c r="A3" s="48">
        <v>2</v>
      </c>
      <c r="B3">
        <v>124</v>
      </c>
    </row>
    <row r="4" spans="1:8" x14ac:dyDescent="0.25">
      <c r="A4">
        <v>2</v>
      </c>
      <c r="B4" s="48">
        <v>123</v>
      </c>
    </row>
    <row r="5" spans="1:8" x14ac:dyDescent="0.25">
      <c r="A5">
        <v>2</v>
      </c>
      <c r="B5">
        <v>124</v>
      </c>
    </row>
    <row r="6" spans="1:8" x14ac:dyDescent="0.25">
      <c r="A6">
        <v>2</v>
      </c>
      <c r="B6">
        <v>123</v>
      </c>
    </row>
    <row r="7" spans="1:8" x14ac:dyDescent="0.25">
      <c r="A7">
        <v>2</v>
      </c>
      <c r="B7">
        <v>124</v>
      </c>
    </row>
    <row r="8" spans="1:8" x14ac:dyDescent="0.25">
      <c r="A8">
        <v>2</v>
      </c>
      <c r="B8" s="48">
        <v>123</v>
      </c>
    </row>
    <row r="9" spans="1:8" x14ac:dyDescent="0.25">
      <c r="A9">
        <v>2</v>
      </c>
      <c r="B9">
        <v>124</v>
      </c>
    </row>
    <row r="10" spans="1:8" x14ac:dyDescent="0.25">
      <c r="A10">
        <v>2</v>
      </c>
      <c r="B10">
        <v>123</v>
      </c>
    </row>
    <row r="11" spans="1:8" x14ac:dyDescent="0.25">
      <c r="A11">
        <v>2</v>
      </c>
      <c r="B11">
        <v>124</v>
      </c>
    </row>
    <row r="12" spans="1:8" x14ac:dyDescent="0.25">
      <c r="A12">
        <v>2</v>
      </c>
      <c r="B12">
        <v>123</v>
      </c>
    </row>
    <row r="13" spans="1:8" x14ac:dyDescent="0.25">
      <c r="A13">
        <v>2</v>
      </c>
      <c r="B13">
        <v>124</v>
      </c>
    </row>
    <row r="14" spans="1:8" x14ac:dyDescent="0.25">
      <c r="A14">
        <v>2</v>
      </c>
      <c r="B14">
        <v>123</v>
      </c>
    </row>
    <row r="15" spans="1:8" x14ac:dyDescent="0.25">
      <c r="A15">
        <v>2</v>
      </c>
      <c r="B15">
        <v>124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A23" sqref="A23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Cadastros</vt:lpstr>
      <vt:lpstr>Produtos</vt:lpstr>
      <vt:lpstr>Orçamento Matriz</vt:lpstr>
      <vt:lpstr>Fornecedor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dcterms:created xsi:type="dcterms:W3CDTF">2015-11-21T17:05:21Z</dcterms:created>
  <dcterms:modified xsi:type="dcterms:W3CDTF">2022-05-27T19:53:44Z</dcterms:modified>
</cp:coreProperties>
</file>